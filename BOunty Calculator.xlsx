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unty" sheetId="1" r:id="rId5"/>
  </sheets>
  <definedNames/>
  <calcPr/>
</workbook>
</file>

<file path=xl/sharedStrings.xml><?xml version="1.0" encoding="utf-8"?>
<sst xmlns="http://schemas.openxmlformats.org/spreadsheetml/2006/main" count="25" uniqueCount="22">
  <si>
    <t>bounty task efficiency calc</t>
  </si>
  <si>
    <t>(all values in millions)</t>
  </si>
  <si>
    <t>HuntSpot Base Raw xp/hr</t>
  </si>
  <si>
    <t>Stamina multiplier</t>
  </si>
  <si>
    <t>Task tier multiplier</t>
  </si>
  <si>
    <t>Kills required</t>
  </si>
  <si>
    <t>Kills/hour</t>
  </si>
  <si>
    <t>META HUNT BEST RAW/XP ACHIEVABLE</t>
  </si>
  <si>
    <t>Breakeven XP/hour</t>
  </si>
  <si>
    <t>Efficient xp wise?</t>
  </si>
  <si>
    <t>Time required for completion (hours)</t>
  </si>
  <si>
    <t>Time required for completion (time)</t>
  </si>
  <si>
    <t>XP Gained during task</t>
  </si>
  <si>
    <t>Task XP Reward</t>
  </si>
  <si>
    <t>Task XP/hour</t>
  </si>
  <si>
    <t>Total XP gain during task</t>
  </si>
  <si>
    <t>Effective XP/hour</t>
  </si>
  <si>
    <t>HOURLY</t>
  </si>
  <si>
    <t>Comparison threshold</t>
  </si>
  <si>
    <t>Difference</t>
  </si>
  <si>
    <t>Difference %</t>
  </si>
  <si>
    <t>ACTUAL COMPLETION SPAN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</si>
</sst>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h]&quot;h&quot; mm&quot;m&quot; ss&quot;s&quot;"/>
    <numFmt numFmtId="165" formatCode="0.00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1" numFmtId="4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</cellXfs>
  <cellStyles count="1">
    <cellStyle xfId="0" name="Normal" builtinId="0"/>
  </cellStyles>
  <dxfs count="2"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6" max="6" width="16.5"/>
  </cols>
  <sheetData>
    <row r="1">
      <c r="A1" s="1" t="s">
        <v>0</v>
      </c>
      <c r="B1" s="1" t="s">
        <v>1</v>
      </c>
    </row>
    <row r="3">
      <c r="A3" s="1" t="s">
        <v>2</v>
      </c>
      <c r="B3" s="2">
        <v>6.5</v>
      </c>
    </row>
    <row r="4">
      <c r="A4" s="1" t="s">
        <v>3</v>
      </c>
      <c r="B4" s="2">
        <v>2.25</v>
      </c>
    </row>
    <row r="5">
      <c r="A5" s="1" t="s">
        <v>4</v>
      </c>
      <c r="B5" s="2">
        <v>1.0</v>
      </c>
    </row>
    <row r="6">
      <c r="A6" s="1" t="s">
        <v>5</v>
      </c>
      <c r="B6" s="2">
        <v>600.0</v>
      </c>
    </row>
    <row r="7">
      <c r="A7" s="1" t="s">
        <v>6</v>
      </c>
      <c r="B7" s="2">
        <v>500.0</v>
      </c>
    </row>
    <row r="8">
      <c r="A8" s="1" t="s">
        <v>7</v>
      </c>
      <c r="B8" s="2">
        <v>7.2</v>
      </c>
    </row>
    <row r="9">
      <c r="A9" s="1" t="s">
        <v>8</v>
      </c>
      <c r="B9" s="3">
        <f>(B8*B4*B12-B15)/(B4*B12)</f>
        <v>6.783333333</v>
      </c>
    </row>
    <row r="10">
      <c r="A10" s="1" t="s">
        <v>9</v>
      </c>
      <c r="B10" s="4" t="b">
        <f>LTE(B9,B3)</f>
        <v>0</v>
      </c>
    </row>
    <row r="11">
      <c r="A11" s="1"/>
      <c r="B11" s="4"/>
    </row>
    <row r="12">
      <c r="A12" s="1" t="s">
        <v>10</v>
      </c>
      <c r="B12" s="4">
        <f>B6/B7</f>
        <v>1.2</v>
      </c>
    </row>
    <row r="13">
      <c r="A13" s="1" t="s">
        <v>11</v>
      </c>
      <c r="B13" s="5">
        <f>(B6/B7)/24</f>
        <v>0.05</v>
      </c>
    </row>
    <row r="14">
      <c r="A14" s="1" t="s">
        <v>12</v>
      </c>
      <c r="B14" s="4">
        <f>B3*B12*B4</f>
        <v>17.55</v>
      </c>
    </row>
    <row r="15">
      <c r="A15" s="1" t="s">
        <v>13</v>
      </c>
      <c r="B15" s="6">
        <f>(B6*1875*B5)/1000000</f>
        <v>1.125</v>
      </c>
    </row>
    <row r="16">
      <c r="A16" s="1" t="s">
        <v>14</v>
      </c>
      <c r="B16" s="3">
        <f>B15/B12</f>
        <v>0.9375</v>
      </c>
    </row>
    <row r="17">
      <c r="A17" s="1" t="s">
        <v>15</v>
      </c>
      <c r="B17" s="4">
        <f>B14+B15</f>
        <v>18.675</v>
      </c>
    </row>
    <row r="18">
      <c r="A18" s="1" t="s">
        <v>16</v>
      </c>
      <c r="B18" s="3">
        <f>B17/B12</f>
        <v>15.5625</v>
      </c>
    </row>
    <row r="20">
      <c r="A20" s="1" t="s">
        <v>17</v>
      </c>
    </row>
    <row r="21">
      <c r="A21" s="1" t="s">
        <v>18</v>
      </c>
      <c r="B21" s="3">
        <f>B8*B4</f>
        <v>16.2</v>
      </c>
    </row>
    <row r="22">
      <c r="A22" s="1" t="s">
        <v>19</v>
      </c>
      <c r="B22" s="3">
        <f>B18-B21</f>
        <v>-0.6375</v>
      </c>
    </row>
    <row r="23">
      <c r="A23" s="1" t="s">
        <v>20</v>
      </c>
      <c r="B23" s="7">
        <f>B22/B21</f>
        <v>-0.03935185185</v>
      </c>
    </row>
    <row r="25">
      <c r="A25" s="1" t="s">
        <v>21</v>
      </c>
    </row>
    <row r="26">
      <c r="A26" s="1" t="s">
        <v>18</v>
      </c>
      <c r="B26" s="3">
        <f>B8*B4*B12</f>
        <v>19.44</v>
      </c>
    </row>
    <row r="27">
      <c r="A27" s="1" t="s">
        <v>19</v>
      </c>
      <c r="B27" s="4">
        <f>B17-B26</f>
        <v>-0.765</v>
      </c>
    </row>
    <row r="28">
      <c r="A28" s="1" t="s">
        <v>20</v>
      </c>
      <c r="B28" s="7">
        <f>B27/B26</f>
        <v>-0.03935185185</v>
      </c>
    </row>
  </sheetData>
  <conditionalFormatting sqref="B22:B23 B27:B28">
    <cfRule type="cellIs" dxfId="0" priority="1" operator="greaterThan">
      <formula>0</formula>
    </cfRule>
  </conditionalFormatting>
  <conditionalFormatting sqref="B22:B23 B27:B28">
    <cfRule type="cellIs" dxfId="1" priority="2" operator="lessThan">
      <formula>0</formula>
    </cfRule>
  </conditionalFormatting>
  <drawing r:id="rId1"/>
</worksheet>
</file>